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ebec644b5c6612/"/>
    </mc:Choice>
  </mc:AlternateContent>
  <xr:revisionPtr revIDLastSave="0" documentId="8_{C66AB049-01A2-4717-846E-9DB44B012337}" xr6:coauthVersionLast="47" xr6:coauthVersionMax="47" xr10:uidLastSave="{00000000-0000-0000-0000-000000000000}"/>
  <bookViews>
    <workbookView xWindow="-120" yWindow="-120" windowWidth="20730" windowHeight="11160" xr2:uid="{27DE82A4-E12A-4062-BF35-5A2383593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16" i="1"/>
  <c r="E11" i="1"/>
  <c r="E12" i="1"/>
  <c r="E13" i="1"/>
  <c r="E10" i="1"/>
  <c r="D11" i="1"/>
  <c r="D12" i="1"/>
  <c r="D13" i="1"/>
  <c r="D10" i="1"/>
  <c r="D2" i="1"/>
  <c r="M3" i="1"/>
  <c r="M4" i="1"/>
  <c r="M5" i="1"/>
  <c r="M6" i="1"/>
  <c r="M7" i="1"/>
  <c r="M8" i="1"/>
  <c r="M2" i="1"/>
  <c r="L3" i="1"/>
  <c r="L4" i="1"/>
  <c r="L5" i="1"/>
  <c r="L6" i="1"/>
  <c r="L7" i="1"/>
  <c r="L8" i="1"/>
  <c r="L2" i="1"/>
  <c r="I2" i="1"/>
  <c r="K3" i="1"/>
  <c r="K4" i="1"/>
  <c r="K5" i="1"/>
  <c r="K6" i="1"/>
  <c r="K7" i="1"/>
  <c r="K8" i="1"/>
  <c r="K2" i="1"/>
  <c r="J3" i="1"/>
  <c r="J4" i="1"/>
  <c r="J5" i="1"/>
  <c r="J6" i="1"/>
  <c r="J7" i="1"/>
  <c r="J8" i="1"/>
  <c r="J2" i="1"/>
  <c r="I3" i="1"/>
  <c r="I4" i="1"/>
  <c r="I5" i="1"/>
  <c r="I6" i="1"/>
  <c r="I7" i="1"/>
  <c r="I8" i="1"/>
  <c r="H3" i="1"/>
  <c r="H4" i="1"/>
  <c r="H5" i="1"/>
  <c r="H6" i="1"/>
  <c r="H7" i="1"/>
  <c r="H8" i="1"/>
  <c r="H2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<sst xmlns="http://schemas.openxmlformats.org/spreadsheetml/2006/main" count="24" uniqueCount="22">
  <si>
    <t>p</t>
  </si>
  <si>
    <t>R(%)</t>
  </si>
  <si>
    <t>N</t>
  </si>
  <si>
    <t>SI</t>
  </si>
  <si>
    <t xml:space="preserve">sum </t>
  </si>
  <si>
    <t>diff</t>
  </si>
  <si>
    <t>product</t>
  </si>
  <si>
    <t>div ision</t>
  </si>
  <si>
    <t>av g</t>
  </si>
  <si>
    <t>num 1</t>
  </si>
  <si>
    <t>num 2</t>
  </si>
  <si>
    <t xml:space="preserve">autosum </t>
  </si>
  <si>
    <t>item</t>
  </si>
  <si>
    <t>appl e</t>
  </si>
  <si>
    <t>banana</t>
  </si>
  <si>
    <t>mango</t>
  </si>
  <si>
    <t>oranges</t>
  </si>
  <si>
    <t>price</t>
  </si>
  <si>
    <t>qty</t>
  </si>
  <si>
    <t>Amount</t>
  </si>
  <si>
    <t>absrefer</t>
  </si>
  <si>
    <t>num1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</si>
</sst>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D7C7-99AD-4D76-B978-4966E3D49F27}">
  <dimension ref="A1:M21"/>
  <sheetViews>
    <sheetView tabSelected="1" workbookViewId="0">
      <selection activeCell="H16" sqref="H16"/>
    </sheetView>
  </sheetViews>
  <sheetFormatPr defaultRowHeight="15" x14ac:dyDescent="0.25"/>
  <sheetData>
    <row r="1" spans="1:13" x14ac:dyDescent="0.25">
      <c r="A1" s="1" t="s">
        <v>0</v>
      </c>
      <c r="B1" s="1" t="s">
        <v>2</v>
      </c>
      <c r="C1" s="1" t="s">
        <v>1</v>
      </c>
      <c r="D1" s="1" t="s">
        <v>3</v>
      </c>
      <c r="F1" s="2" t="s">
        <v>9</v>
      </c>
      <c r="G1" s="2" t="s">
        <v>10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11</v>
      </c>
    </row>
    <row r="2" spans="1:13" x14ac:dyDescent="0.25">
      <c r="A2" s="1">
        <v>1000</v>
      </c>
      <c r="B2" s="1">
        <v>30</v>
      </c>
      <c r="C2" s="1">
        <v>5</v>
      </c>
      <c r="D2" s="1">
        <f>A2*(B2/12)*5/100</f>
        <v>125</v>
      </c>
      <c r="F2" s="1">
        <v>10</v>
      </c>
      <c r="G2" s="1">
        <v>100</v>
      </c>
      <c r="H2" s="1">
        <f>SUM(F2:G2)</f>
        <v>110</v>
      </c>
      <c r="I2" s="1">
        <f>F2-G2</f>
        <v>-90</v>
      </c>
      <c r="J2" s="1">
        <f>PRODUCT(F2:G2)</f>
        <v>1000</v>
      </c>
      <c r="K2" s="1">
        <f>F2/G2</f>
        <v>0.1</v>
      </c>
      <c r="L2" s="1">
        <f>AVERAGE(F2:G2)</f>
        <v>55</v>
      </c>
      <c r="M2" s="1">
        <f>SUM(F2:L2)</f>
        <v>1185.0999999999999</v>
      </c>
    </row>
    <row r="3" spans="1:13" x14ac:dyDescent="0.25">
      <c r="A3" s="1">
        <v>2345</v>
      </c>
      <c r="B3" s="1">
        <v>24</v>
      </c>
      <c r="C3" s="1">
        <v>8</v>
      </c>
      <c r="D3" s="1">
        <f>A3*(B3/12)*8/100</f>
        <v>375.2</v>
      </c>
      <c r="F3" s="1">
        <v>20</v>
      </c>
      <c r="G3" s="1">
        <v>120</v>
      </c>
      <c r="H3" s="1">
        <f t="shared" ref="H3:H8" si="0">SUM(F3:G3)</f>
        <v>140</v>
      </c>
      <c r="I3" s="1">
        <f t="shared" ref="I3:I8" si="1">F3-G3</f>
        <v>-100</v>
      </c>
      <c r="J3" s="1">
        <f t="shared" ref="J3:J8" si="2">PRODUCT(F3:G3)</f>
        <v>2400</v>
      </c>
      <c r="K3" s="1">
        <f t="shared" ref="K3:K8" si="3">F3/G3</f>
        <v>0.16666666666666666</v>
      </c>
      <c r="L3" s="1">
        <f t="shared" ref="L3:L8" si="4">AVERAGE(F3:G3)</f>
        <v>70</v>
      </c>
      <c r="M3" s="1">
        <f t="shared" ref="M3:M8" si="5">SUM(F3:L3)</f>
        <v>2650.1666666666665</v>
      </c>
    </row>
    <row r="4" spans="1:13" x14ac:dyDescent="0.25">
      <c r="A4" s="1">
        <v>500000</v>
      </c>
      <c r="B4" s="1">
        <v>56</v>
      </c>
      <c r="C4" s="1">
        <v>7.5</v>
      </c>
      <c r="D4" s="1">
        <f>A4*(B4/12)*7.5/100</f>
        <v>175000</v>
      </c>
      <c r="F4" s="1">
        <v>30</v>
      </c>
      <c r="G4" s="1">
        <v>130</v>
      </c>
      <c r="H4" s="1">
        <f t="shared" si="0"/>
        <v>160</v>
      </c>
      <c r="I4" s="1">
        <f t="shared" si="1"/>
        <v>-100</v>
      </c>
      <c r="J4" s="1">
        <f t="shared" si="2"/>
        <v>3900</v>
      </c>
      <c r="K4" s="1">
        <f t="shared" si="3"/>
        <v>0.23076923076923078</v>
      </c>
      <c r="L4" s="1">
        <f t="shared" si="4"/>
        <v>80</v>
      </c>
      <c r="M4" s="1">
        <f t="shared" si="5"/>
        <v>4200.2307692307695</v>
      </c>
    </row>
    <row r="5" spans="1:13" x14ac:dyDescent="0.25">
      <c r="A5" s="1">
        <v>100000</v>
      </c>
      <c r="B5" s="1">
        <v>11</v>
      </c>
      <c r="C5" s="1">
        <v>6.75</v>
      </c>
      <c r="D5" s="1">
        <f>A5*(B5/12)*6.75/100</f>
        <v>6187.4999999999991</v>
      </c>
      <c r="F5" s="1">
        <v>40</v>
      </c>
      <c r="G5" s="1">
        <v>140</v>
      </c>
      <c r="H5" s="1">
        <f t="shared" si="0"/>
        <v>180</v>
      </c>
      <c r="I5" s="1">
        <f t="shared" si="1"/>
        <v>-100</v>
      </c>
      <c r="J5" s="1">
        <f t="shared" si="2"/>
        <v>5600</v>
      </c>
      <c r="K5" s="1">
        <f t="shared" si="3"/>
        <v>0.2857142857142857</v>
      </c>
      <c r="L5" s="1">
        <f t="shared" si="4"/>
        <v>90</v>
      </c>
      <c r="M5" s="1">
        <f t="shared" si="5"/>
        <v>5950.2857142857147</v>
      </c>
    </row>
    <row r="6" spans="1:13" x14ac:dyDescent="0.25">
      <c r="A6" s="1">
        <v>140000</v>
      </c>
      <c r="B6" s="1">
        <v>12</v>
      </c>
      <c r="C6" s="1">
        <v>7.5</v>
      </c>
      <c r="D6" s="1">
        <f>A6*(B6/12)*7.5/100</f>
        <v>10500</v>
      </c>
      <c r="F6" s="1">
        <v>50</v>
      </c>
      <c r="G6" s="1">
        <v>170</v>
      </c>
      <c r="H6" s="1">
        <f t="shared" si="0"/>
        <v>220</v>
      </c>
      <c r="I6" s="1">
        <f t="shared" si="1"/>
        <v>-120</v>
      </c>
      <c r="J6" s="1">
        <f t="shared" si="2"/>
        <v>8500</v>
      </c>
      <c r="K6" s="1">
        <f t="shared" si="3"/>
        <v>0.29411764705882354</v>
      </c>
      <c r="L6" s="1">
        <f t="shared" si="4"/>
        <v>110</v>
      </c>
      <c r="M6" s="1">
        <f t="shared" si="5"/>
        <v>8930.2941176470595</v>
      </c>
    </row>
    <row r="7" spans="1:13" x14ac:dyDescent="0.25">
      <c r="A7" s="1">
        <v>600000</v>
      </c>
      <c r="B7" s="1">
        <v>25</v>
      </c>
      <c r="C7" s="1">
        <v>8.25</v>
      </c>
      <c r="D7" s="1">
        <f>A7*(B7/12)*8.25/100</f>
        <v>103125</v>
      </c>
      <c r="F7" s="1">
        <v>60</v>
      </c>
      <c r="G7" s="1">
        <v>456</v>
      </c>
      <c r="H7" s="1">
        <f t="shared" si="0"/>
        <v>516</v>
      </c>
      <c r="I7" s="1">
        <f t="shared" si="1"/>
        <v>-396</v>
      </c>
      <c r="J7" s="1">
        <f t="shared" si="2"/>
        <v>27360</v>
      </c>
      <c r="K7" s="1">
        <f t="shared" si="3"/>
        <v>0.13157894736842105</v>
      </c>
      <c r="L7" s="1">
        <f t="shared" si="4"/>
        <v>258</v>
      </c>
      <c r="M7" s="1">
        <f t="shared" si="5"/>
        <v>28254.13157894737</v>
      </c>
    </row>
    <row r="8" spans="1:13" x14ac:dyDescent="0.25">
      <c r="F8" s="1">
        <v>70</v>
      </c>
      <c r="G8" s="1">
        <v>78</v>
      </c>
      <c r="H8" s="1">
        <f t="shared" si="0"/>
        <v>148</v>
      </c>
      <c r="I8" s="1">
        <f t="shared" si="1"/>
        <v>-8</v>
      </c>
      <c r="J8" s="1">
        <f t="shared" si="2"/>
        <v>5460</v>
      </c>
      <c r="K8" s="1">
        <f t="shared" si="3"/>
        <v>0.89743589743589747</v>
      </c>
      <c r="L8" s="1">
        <f t="shared" si="4"/>
        <v>74</v>
      </c>
      <c r="M8" s="1">
        <f t="shared" si="5"/>
        <v>5822.8974358974356</v>
      </c>
    </row>
    <row r="9" spans="1:13" x14ac:dyDescent="0.25">
      <c r="A9" s="1" t="s">
        <v>12</v>
      </c>
      <c r="B9" s="1" t="s">
        <v>17</v>
      </c>
      <c r="C9" s="1" t="s">
        <v>18</v>
      </c>
      <c r="D9" s="1" t="s">
        <v>19</v>
      </c>
      <c r="E9" s="1" t="s">
        <v>20</v>
      </c>
    </row>
    <row r="10" spans="1:13" x14ac:dyDescent="0.25">
      <c r="A10" s="1" t="s">
        <v>13</v>
      </c>
      <c r="B10" s="1">
        <v>5</v>
      </c>
      <c r="C10" s="1">
        <v>10</v>
      </c>
      <c r="D10" s="1">
        <f>B$12*C10</f>
        <v>37.5</v>
      </c>
      <c r="E10" s="1">
        <f>$B$10*$C$10</f>
        <v>50</v>
      </c>
    </row>
    <row r="11" spans="1:13" x14ac:dyDescent="0.25">
      <c r="A11" s="1" t="s">
        <v>14</v>
      </c>
      <c r="B11" s="1">
        <v>3.5</v>
      </c>
      <c r="C11" s="1">
        <v>24</v>
      </c>
      <c r="D11" s="1">
        <f t="shared" ref="D11:D13" si="6">B$12*C11</f>
        <v>90</v>
      </c>
      <c r="E11" s="1">
        <f t="shared" ref="E11:E13" si="7">$B$10*$C$10</f>
        <v>50</v>
      </c>
    </row>
    <row r="12" spans="1:13" x14ac:dyDescent="0.25">
      <c r="A12" s="1" t="s">
        <v>15</v>
      </c>
      <c r="B12" s="1">
        <v>3.75</v>
      </c>
      <c r="C12" s="1">
        <v>12</v>
      </c>
      <c r="D12" s="1">
        <f t="shared" si="6"/>
        <v>45</v>
      </c>
      <c r="E12" s="1">
        <f t="shared" si="7"/>
        <v>50</v>
      </c>
    </row>
    <row r="13" spans="1:13" x14ac:dyDescent="0.25">
      <c r="A13" s="1" t="s">
        <v>16</v>
      </c>
      <c r="B13" s="1">
        <v>4</v>
      </c>
      <c r="C13" s="1">
        <v>10</v>
      </c>
      <c r="D13" s="1">
        <f t="shared" si="6"/>
        <v>37.5</v>
      </c>
      <c r="E13" s="1">
        <f t="shared" si="7"/>
        <v>50</v>
      </c>
    </row>
    <row r="15" spans="1:13" x14ac:dyDescent="0.25">
      <c r="F15" t="s">
        <v>21</v>
      </c>
      <c r="G15" t="s">
        <v>10</v>
      </c>
      <c r="H15" t="s">
        <v>4</v>
      </c>
    </row>
    <row r="16" spans="1:13" x14ac:dyDescent="0.25">
      <c r="F16">
        <v>55</v>
      </c>
      <c r="G16">
        <v>45</v>
      </c>
      <c r="H16">
        <f>$F$16+G16</f>
        <v>100</v>
      </c>
    </row>
    <row r="17" spans="6:8" x14ac:dyDescent="0.25">
      <c r="F17">
        <v>65</v>
      </c>
      <c r="G17">
        <v>12</v>
      </c>
      <c r="H17">
        <f t="shared" ref="H17:H21" si="8">$F$16+G17</f>
        <v>67</v>
      </c>
    </row>
    <row r="18" spans="6:8" x14ac:dyDescent="0.25">
      <c r="F18">
        <v>75</v>
      </c>
      <c r="G18">
        <v>13</v>
      </c>
      <c r="H18">
        <f t="shared" si="8"/>
        <v>68</v>
      </c>
    </row>
    <row r="19" spans="6:8" x14ac:dyDescent="0.25">
      <c r="F19">
        <v>85</v>
      </c>
      <c r="G19">
        <v>14</v>
      </c>
      <c r="H19">
        <f t="shared" si="8"/>
        <v>69</v>
      </c>
    </row>
    <row r="20" spans="6:8" x14ac:dyDescent="0.25">
      <c r="F20">
        <v>95</v>
      </c>
      <c r="G20">
        <v>15</v>
      </c>
      <c r="H20">
        <f t="shared" si="8"/>
        <v>70</v>
      </c>
    </row>
    <row r="21" spans="6:8" x14ac:dyDescent="0.25">
      <c r="F21">
        <v>100</v>
      </c>
      <c r="G21">
        <v>16</v>
      </c>
      <c r="H21">
        <f t="shared" si="8"/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2026-08-07T10:00:12Z</dcterms:created>
  <dcterms:modified xsi:type="dcterms:W3CDTF">2026-08-07T11:05:27Z</dcterms:modified>
</cp:coreProperties>
</file>